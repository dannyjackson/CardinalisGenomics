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jack/Documents/Github_local/CardinalisGenomics/Paper/"/>
    </mc:Choice>
  </mc:AlternateContent>
  <xr:revisionPtr revIDLastSave="0" documentId="8_{4E5973D4-10D9-B94A-9255-4235E0A0C3BC}" xr6:coauthVersionLast="47" xr6:coauthVersionMax="47" xr10:uidLastSave="{00000000-0000-0000-0000-000000000000}"/>
  <bookViews>
    <workbookView xWindow="0" yWindow="0" windowWidth="16680" windowHeight="21000" xr2:uid="{2A7F5257-B912-0249-8CD0-48A277D8F2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7" i="1"/>
  <c r="O8" i="1"/>
  <c r="O10" i="1"/>
  <c r="O16" i="1"/>
  <c r="O18" i="1"/>
  <c r="N6" i="1"/>
  <c r="N7" i="1"/>
  <c r="N8" i="1"/>
  <c r="N14" i="1"/>
  <c r="N15" i="1"/>
  <c r="N16" i="1"/>
  <c r="N22" i="1"/>
  <c r="N23" i="1"/>
  <c r="M2" i="1"/>
  <c r="M8" i="1"/>
  <c r="M9" i="1"/>
  <c r="M10" i="1"/>
  <c r="M16" i="1"/>
  <c r="M17" i="1"/>
  <c r="M18" i="1"/>
  <c r="L2" i="1"/>
  <c r="L3" i="1"/>
  <c r="L8" i="1"/>
  <c r="L10" i="1"/>
  <c r="L11" i="1"/>
  <c r="L12" i="1"/>
  <c r="L16" i="1"/>
  <c r="L18" i="1"/>
  <c r="L19" i="1"/>
  <c r="L20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J2" i="1"/>
  <c r="J3" i="1"/>
  <c r="J4" i="1"/>
  <c r="O4" i="1" s="1"/>
  <c r="J5" i="1"/>
  <c r="O5" i="1" s="1"/>
  <c r="J6" i="1"/>
  <c r="O6" i="1" s="1"/>
  <c r="J7" i="1"/>
  <c r="J8" i="1"/>
  <c r="J9" i="1"/>
  <c r="J10" i="1"/>
  <c r="J11" i="1"/>
  <c r="J12" i="1"/>
  <c r="O12" i="1" s="1"/>
  <c r="J13" i="1"/>
  <c r="O13" i="1" s="1"/>
  <c r="J14" i="1"/>
  <c r="O14" i="1" s="1"/>
  <c r="J15" i="1"/>
  <c r="O15" i="1" s="1"/>
  <c r="J16" i="1"/>
  <c r="J17" i="1"/>
  <c r="J18" i="1"/>
  <c r="J19" i="1"/>
  <c r="J20" i="1"/>
  <c r="O20" i="1" s="1"/>
  <c r="J21" i="1"/>
  <c r="O21" i="1" s="1"/>
  <c r="J22" i="1"/>
  <c r="O22" i="1" s="1"/>
  <c r="J23" i="1"/>
  <c r="O23" i="1" s="1"/>
  <c r="I2" i="1"/>
  <c r="I3" i="1"/>
  <c r="O3" i="1" s="1"/>
  <c r="I4" i="1"/>
  <c r="I5" i="1"/>
  <c r="I6" i="1"/>
  <c r="I7" i="1"/>
  <c r="I8" i="1"/>
  <c r="I9" i="1"/>
  <c r="O9" i="1" s="1"/>
  <c r="I10" i="1"/>
  <c r="I11" i="1"/>
  <c r="O11" i="1" s="1"/>
  <c r="I12" i="1"/>
  <c r="I13" i="1"/>
  <c r="I14" i="1"/>
  <c r="I15" i="1"/>
  <c r="I16" i="1"/>
  <c r="I17" i="1"/>
  <c r="O17" i="1" s="1"/>
  <c r="I18" i="1"/>
  <c r="I19" i="1"/>
  <c r="O19" i="1" s="1"/>
  <c r="I20" i="1"/>
  <c r="I21" i="1"/>
  <c r="I22" i="1"/>
  <c r="I23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G2" i="1"/>
  <c r="N2" i="1" s="1"/>
  <c r="N24" i="1" s="1"/>
  <c r="G3" i="1"/>
  <c r="N3" i="1" s="1"/>
  <c r="G4" i="1"/>
  <c r="N4" i="1" s="1"/>
  <c r="G5" i="1"/>
  <c r="N5" i="1" s="1"/>
  <c r="G6" i="1"/>
  <c r="G7" i="1"/>
  <c r="G8" i="1"/>
  <c r="G9" i="1"/>
  <c r="N9" i="1" s="1"/>
  <c r="G10" i="1"/>
  <c r="N10" i="1" s="1"/>
  <c r="G11" i="1"/>
  <c r="N11" i="1" s="1"/>
  <c r="G12" i="1"/>
  <c r="N12" i="1" s="1"/>
  <c r="G13" i="1"/>
  <c r="N13" i="1" s="1"/>
  <c r="G14" i="1"/>
  <c r="G15" i="1"/>
  <c r="G16" i="1"/>
  <c r="G17" i="1"/>
  <c r="N17" i="1" s="1"/>
  <c r="G18" i="1"/>
  <c r="N18" i="1" s="1"/>
  <c r="G19" i="1"/>
  <c r="N19" i="1" s="1"/>
  <c r="G20" i="1"/>
  <c r="N20" i="1" s="1"/>
  <c r="G21" i="1"/>
  <c r="N21" i="1" s="1"/>
  <c r="G22" i="1"/>
  <c r="G23" i="1"/>
  <c r="F2" i="1"/>
  <c r="F3" i="1"/>
  <c r="M3" i="1" s="1"/>
  <c r="F4" i="1"/>
  <c r="M4" i="1" s="1"/>
  <c r="F5" i="1"/>
  <c r="L5" i="1" s="1"/>
  <c r="F6" i="1"/>
  <c r="L6" i="1" s="1"/>
  <c r="F7" i="1"/>
  <c r="L7" i="1" s="1"/>
  <c r="F8" i="1"/>
  <c r="F9" i="1"/>
  <c r="L9" i="1" s="1"/>
  <c r="F10" i="1"/>
  <c r="F11" i="1"/>
  <c r="M11" i="1" s="1"/>
  <c r="F12" i="1"/>
  <c r="M12" i="1" s="1"/>
  <c r="F13" i="1"/>
  <c r="L13" i="1" s="1"/>
  <c r="F14" i="1"/>
  <c r="L14" i="1" s="1"/>
  <c r="F15" i="1"/>
  <c r="L15" i="1" s="1"/>
  <c r="F16" i="1"/>
  <c r="F17" i="1"/>
  <c r="L17" i="1" s="1"/>
  <c r="F18" i="1"/>
  <c r="F19" i="1"/>
  <c r="M19" i="1" s="1"/>
  <c r="F20" i="1"/>
  <c r="M20" i="1" s="1"/>
  <c r="F21" i="1"/>
  <c r="L21" i="1" s="1"/>
  <c r="F22" i="1"/>
  <c r="L22" i="1" s="1"/>
  <c r="F23" i="1"/>
  <c r="L23" i="1" s="1"/>
  <c r="C24" i="1"/>
  <c r="D24" i="1"/>
  <c r="E24" i="1"/>
  <c r="B24" i="1"/>
  <c r="O24" i="1" l="1"/>
  <c r="L4" i="1"/>
  <c r="L24" i="1" s="1"/>
  <c r="M15" i="1"/>
  <c r="M7" i="1"/>
  <c r="M23" i="1"/>
  <c r="M22" i="1"/>
  <c r="M14" i="1"/>
  <c r="M6" i="1"/>
  <c r="J24" i="1"/>
  <c r="M21" i="1"/>
  <c r="M13" i="1"/>
  <c r="M5" i="1"/>
  <c r="M24" i="1" s="1"/>
  <c r="H24" i="1"/>
  <c r="I24" i="1"/>
  <c r="G24" i="1"/>
  <c r="K24" i="1"/>
  <c r="F24" i="1"/>
</calcChain>
</file>

<file path=xl/sharedStrings.xml><?xml version="1.0" encoding="utf-8"?>
<sst xmlns="http://schemas.openxmlformats.org/spreadsheetml/2006/main" count="249" uniqueCount="82">
  <si>
    <t>Gene</t>
  </si>
  <si>
    <t>GO Terms</t>
  </si>
  <si>
    <t>DMD</t>
  </si>
  <si>
    <t>regulation of muscle system process (GO:0090257)</t>
  </si>
  <si>
    <t>skeletal muscle tissue development (GO:0007519)</t>
  </si>
  <si>
    <t>skeletal muscle organ development (GO:0060538)</t>
  </si>
  <si>
    <t>CDH18</t>
  </si>
  <si>
    <t>CDH8</t>
  </si>
  <si>
    <t>CDH9</t>
  </si>
  <si>
    <t>adherens junction organization (GO:0034332)</t>
  </si>
  <si>
    <t>SDK1</t>
  </si>
  <si>
    <t>CNTN4</t>
  </si>
  <si>
    <t>homophilic cell adhesion via plasma membrane adhesion molecules (GO:0007156)</t>
  </si>
  <si>
    <t>smoothened signaling pathway (GO:0007224)</t>
  </si>
  <si>
    <t>muscle organ development (GO:0007517)</t>
  </si>
  <si>
    <t>ATRN</t>
  </si>
  <si>
    <t>cell-cell adhesion via plasma-membrane adhesion molecules (GO:0098742)</t>
  </si>
  <si>
    <t>synapse assembly (GO:0007416)</t>
  </si>
  <si>
    <t>cell junction assembly (GO:0034329)</t>
  </si>
  <si>
    <t>cell-cell junction assembly (GO:0007043)</t>
  </si>
  <si>
    <t>synapse organization (GO:0050808)</t>
  </si>
  <si>
    <t>ERC2</t>
  </si>
  <si>
    <t>cell-cell junction organization (GO:0045216)</t>
  </si>
  <si>
    <t>cell junction organization (GO:0034330)</t>
  </si>
  <si>
    <t>cell-cell adhesion (GO:0098609)</t>
  </si>
  <si>
    <t>SYT1</t>
  </si>
  <si>
    <t>synaptic signaling (GO:0099536)</t>
  </si>
  <si>
    <t>HTR7</t>
  </si>
  <si>
    <t>TRIO</t>
  </si>
  <si>
    <t>cell morphogenesis (GO:0000902)</t>
  </si>
  <si>
    <t>EPHB2</t>
  </si>
  <si>
    <t>axon guidance (GO:0007411)</t>
  </si>
  <si>
    <t>neuron projection guidance (GO:0097485)</t>
  </si>
  <si>
    <t>PCDH15</t>
  </si>
  <si>
    <t>cell adhesion (GO:0007155)</t>
  </si>
  <si>
    <t>GPM6A</t>
  </si>
  <si>
    <t>neuron development (GO:0048666)</t>
  </si>
  <si>
    <t>axonogenesis (GO:0007409)</t>
  </si>
  <si>
    <t>cell morphogenesis involved in neuron differentiation (GO:0048667)</t>
  </si>
  <si>
    <t>chemical synaptic transmission (GO:0007268)</t>
  </si>
  <si>
    <t>anterograde trans-synaptic signaling (GO:0098916)</t>
  </si>
  <si>
    <t>axon development (GO:0061564)</t>
  </si>
  <si>
    <t>neuron projection morphogenesis (GO:0048812)</t>
  </si>
  <si>
    <t>cell projection morphogenesis (GO:0048858)</t>
  </si>
  <si>
    <t>plasma membrane bounded cell projection morphogenesis (GO:0120039)</t>
  </si>
  <si>
    <t>neuron projection development (GO:0031175)</t>
  </si>
  <si>
    <t>neuron differentiation (GO:0030182)</t>
  </si>
  <si>
    <t>cell-cell signaling (GO:0007267)</t>
  </si>
  <si>
    <t>nervous system development (GO:0007399)</t>
  </si>
  <si>
    <t>NAV2</t>
  </si>
  <si>
    <t>generation of neurons (GO:0048699)</t>
  </si>
  <si>
    <t>cell development (GO:0048468)</t>
  </si>
  <si>
    <t>neurogenesis (GO:0022008)</t>
  </si>
  <si>
    <t>multicellular organism development (GO:0007275)</t>
  </si>
  <si>
    <t>multicellular organismal process (GO:0032501)</t>
  </si>
  <si>
    <t>anatomical structure development (GO:0048856)</t>
  </si>
  <si>
    <t>developmental process (GO:0032502)</t>
  </si>
  <si>
    <t>APOLD1</t>
  </si>
  <si>
    <t>ALK</t>
  </si>
  <si>
    <t>system development (GO:0048731)</t>
  </si>
  <si>
    <t>CHRM3</t>
  </si>
  <si>
    <t>signaling (GO:0023052)</t>
  </si>
  <si>
    <t>BDKRB1</t>
  </si>
  <si>
    <t>VRK1</t>
  </si>
  <si>
    <t>GLI3</t>
  </si>
  <si>
    <t>ANKS1B</t>
  </si>
  <si>
    <t>cell communication (GO:0007154)</t>
  </si>
  <si>
    <t>anatomical structure morphogenesis (GO:0009653)</t>
  </si>
  <si>
    <t>NOCA</t>
  </si>
  <si>
    <t>PYRR</t>
  </si>
  <si>
    <t>OWL</t>
  </si>
  <si>
    <t>TIT</t>
  </si>
  <si>
    <t>NOCA_PYRR</t>
  </si>
  <si>
    <t>NOCA_OWL</t>
  </si>
  <si>
    <t>NOCA_TIT</t>
  </si>
  <si>
    <t>PYRR_OWL</t>
  </si>
  <si>
    <t>PYRR_TIT</t>
  </si>
  <si>
    <t>OWL_TIT</t>
  </si>
  <si>
    <t>NOCA_PYRR_OWL</t>
  </si>
  <si>
    <t>NOCA_PYRR_TIT</t>
  </si>
  <si>
    <t>NOCA_OWL_TIT</t>
  </si>
  <si>
    <t>PYRR_OWL_TIT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</si>
</sst>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9F89-DB36-A047-A161-37ED78B4C1C8}">
  <dimension ref="A1:AQ24"/>
  <sheetViews>
    <sheetView tabSelected="1" topLeftCell="P1" workbookViewId="0">
      <selection activeCell="X14" sqref="X14"/>
    </sheetView>
  </sheetViews>
  <sheetFormatPr baseColWidth="10" defaultRowHeight="16" x14ac:dyDescent="0.2"/>
  <sheetData>
    <row r="1" spans="1:43" x14ac:dyDescent="0.2">
      <c r="A1" t="s">
        <v>0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1</v>
      </c>
    </row>
    <row r="2" spans="1:43" x14ac:dyDescent="0.2">
      <c r="A2" t="s">
        <v>58</v>
      </c>
      <c r="B2">
        <v>1</v>
      </c>
      <c r="C2">
        <v>0</v>
      </c>
      <c r="D2">
        <v>1</v>
      </c>
      <c r="E2">
        <v>0</v>
      </c>
      <c r="F2" t="b">
        <f t="shared" ref="F2:F23" si="0">AND(B2=C2, B2=1)</f>
        <v>0</v>
      </c>
      <c r="G2" t="b">
        <f t="shared" ref="G2:G23" si="1">AND(B2=D2, B2=1)</f>
        <v>1</v>
      </c>
      <c r="H2" t="b">
        <f t="shared" ref="H2:H23" si="2">AND(B2=E2, B2=1)</f>
        <v>0</v>
      </c>
      <c r="I2" t="b">
        <f t="shared" ref="I2:I23" si="3">AND(C2=D2, C2=1)</f>
        <v>0</v>
      </c>
      <c r="J2" t="b">
        <f t="shared" ref="J2:J23" si="4">AND(C2=E2, C2=1)</f>
        <v>0</v>
      </c>
      <c r="K2" t="b">
        <f t="shared" ref="K2:K23" si="5">AND(D2=E2, D2=1)</f>
        <v>0</v>
      </c>
      <c r="L2" t="b">
        <f t="shared" ref="L2:L23" si="6">AND(F2=G2, F2=TRUE)</f>
        <v>0</v>
      </c>
      <c r="M2" t="b">
        <f t="shared" ref="M2:M23" si="7">AND(F2=H2, F2=TRUE)</f>
        <v>0</v>
      </c>
      <c r="N2" t="b">
        <f t="shared" ref="N2:N23" si="8">AND(G2=H2, G2=TRUE)</f>
        <v>0</v>
      </c>
      <c r="O2" t="b">
        <f t="shared" ref="O2:O23" si="9">AND(I2=J2, I2=TRUE)</f>
        <v>0</v>
      </c>
      <c r="P2" s="1" t="s">
        <v>53</v>
      </c>
      <c r="Q2" s="1" t="s">
        <v>54</v>
      </c>
      <c r="R2" s="1" t="s">
        <v>55</v>
      </c>
      <c r="S2" s="1" t="s">
        <v>56</v>
      </c>
      <c r="T2" s="1" t="s">
        <v>61</v>
      </c>
      <c r="U2" t="s">
        <v>66</v>
      </c>
    </row>
    <row r="3" spans="1:43" x14ac:dyDescent="0.2">
      <c r="A3" t="s">
        <v>65</v>
      </c>
      <c r="B3">
        <v>1</v>
      </c>
      <c r="C3">
        <v>0</v>
      </c>
      <c r="D3">
        <v>1</v>
      </c>
      <c r="E3">
        <v>0</v>
      </c>
      <c r="F3" t="b">
        <f t="shared" si="0"/>
        <v>0</v>
      </c>
      <c r="G3" t="b">
        <f t="shared" si="1"/>
        <v>1</v>
      </c>
      <c r="H3" t="b">
        <f t="shared" si="2"/>
        <v>0</v>
      </c>
      <c r="I3" t="b">
        <f t="shared" si="3"/>
        <v>0</v>
      </c>
      <c r="J3" t="b">
        <f t="shared" si="4"/>
        <v>0</v>
      </c>
      <c r="K3" t="b">
        <f t="shared" si="5"/>
        <v>0</v>
      </c>
      <c r="L3" t="b">
        <f t="shared" si="6"/>
        <v>0</v>
      </c>
      <c r="M3" t="b">
        <f t="shared" si="7"/>
        <v>0</v>
      </c>
      <c r="N3" t="b">
        <f t="shared" si="8"/>
        <v>0</v>
      </c>
      <c r="O3" t="b">
        <f t="shared" si="9"/>
        <v>0</v>
      </c>
      <c r="P3" s="1" t="s">
        <v>61</v>
      </c>
    </row>
    <row r="4" spans="1:43" x14ac:dyDescent="0.2">
      <c r="A4" t="s">
        <v>57</v>
      </c>
      <c r="B4">
        <v>1</v>
      </c>
      <c r="C4">
        <v>1</v>
      </c>
      <c r="D4">
        <v>1</v>
      </c>
      <c r="E4">
        <v>0</v>
      </c>
      <c r="F4" t="b">
        <f t="shared" si="0"/>
        <v>1</v>
      </c>
      <c r="G4" t="b">
        <f t="shared" si="1"/>
        <v>1</v>
      </c>
      <c r="H4" t="b">
        <f t="shared" si="2"/>
        <v>0</v>
      </c>
      <c r="I4" t="b">
        <f t="shared" si="3"/>
        <v>1</v>
      </c>
      <c r="J4" t="b">
        <f t="shared" si="4"/>
        <v>0</v>
      </c>
      <c r="K4" t="b">
        <f t="shared" si="5"/>
        <v>0</v>
      </c>
      <c r="L4" t="b">
        <f t="shared" si="6"/>
        <v>1</v>
      </c>
      <c r="M4" t="b">
        <f t="shared" si="7"/>
        <v>0</v>
      </c>
      <c r="N4" t="b">
        <f t="shared" si="8"/>
        <v>0</v>
      </c>
      <c r="O4" t="b">
        <f t="shared" si="9"/>
        <v>0</v>
      </c>
      <c r="P4" s="1" t="s">
        <v>53</v>
      </c>
      <c r="Q4" s="1" t="s">
        <v>54</v>
      </c>
      <c r="R4" s="1" t="s">
        <v>55</v>
      </c>
      <c r="S4" s="1" t="s">
        <v>56</v>
      </c>
      <c r="T4" t="s">
        <v>59</v>
      </c>
      <c r="U4" t="s">
        <v>66</v>
      </c>
      <c r="V4" t="s">
        <v>67</v>
      </c>
    </row>
    <row r="5" spans="1:43" x14ac:dyDescent="0.2">
      <c r="A5" t="s">
        <v>15</v>
      </c>
      <c r="B5">
        <v>1</v>
      </c>
      <c r="C5">
        <v>0</v>
      </c>
      <c r="D5">
        <v>1</v>
      </c>
      <c r="E5">
        <v>0</v>
      </c>
      <c r="F5" t="b">
        <f t="shared" si="0"/>
        <v>0</v>
      </c>
      <c r="G5" t="b">
        <f t="shared" si="1"/>
        <v>1</v>
      </c>
      <c r="H5" t="b">
        <f t="shared" si="2"/>
        <v>0</v>
      </c>
      <c r="I5" t="b">
        <f t="shared" si="3"/>
        <v>0</v>
      </c>
      <c r="J5" t="b">
        <f t="shared" si="4"/>
        <v>0</v>
      </c>
      <c r="K5" t="b">
        <f t="shared" si="5"/>
        <v>0</v>
      </c>
      <c r="L5" t="b">
        <f t="shared" si="6"/>
        <v>0</v>
      </c>
      <c r="M5" t="b">
        <f t="shared" si="7"/>
        <v>0</v>
      </c>
      <c r="N5" t="b">
        <f t="shared" si="8"/>
        <v>0</v>
      </c>
      <c r="O5" t="b">
        <f t="shared" si="9"/>
        <v>0</v>
      </c>
      <c r="P5" t="s">
        <v>16</v>
      </c>
      <c r="Q5" t="s">
        <v>24</v>
      </c>
      <c r="R5" s="1" t="s">
        <v>34</v>
      </c>
      <c r="S5" s="1"/>
    </row>
    <row r="6" spans="1:43" x14ac:dyDescent="0.2">
      <c r="A6" t="s">
        <v>62</v>
      </c>
      <c r="B6">
        <v>1</v>
      </c>
      <c r="C6">
        <v>0</v>
      </c>
      <c r="D6">
        <v>1</v>
      </c>
      <c r="E6">
        <v>0</v>
      </c>
      <c r="F6" t="b">
        <f t="shared" si="0"/>
        <v>0</v>
      </c>
      <c r="G6" t="b">
        <f t="shared" si="1"/>
        <v>1</v>
      </c>
      <c r="H6" t="b">
        <f t="shared" si="2"/>
        <v>0</v>
      </c>
      <c r="I6" t="b">
        <f t="shared" si="3"/>
        <v>0</v>
      </c>
      <c r="J6" t="b">
        <f t="shared" si="4"/>
        <v>0</v>
      </c>
      <c r="K6" t="b">
        <f t="shared" si="5"/>
        <v>0</v>
      </c>
      <c r="L6" t="b">
        <f t="shared" si="6"/>
        <v>0</v>
      </c>
      <c r="M6" t="b">
        <f t="shared" si="7"/>
        <v>0</v>
      </c>
      <c r="N6" t="b">
        <f t="shared" si="8"/>
        <v>0</v>
      </c>
      <c r="O6" t="b">
        <f t="shared" si="9"/>
        <v>0</v>
      </c>
      <c r="P6" s="1" t="s">
        <v>61</v>
      </c>
    </row>
    <row r="7" spans="1:43" x14ac:dyDescent="0.2">
      <c r="A7" t="s">
        <v>6</v>
      </c>
      <c r="B7">
        <v>1</v>
      </c>
      <c r="C7">
        <v>0</v>
      </c>
      <c r="D7">
        <v>0</v>
      </c>
      <c r="E7">
        <v>1</v>
      </c>
      <c r="F7" t="b">
        <f t="shared" si="0"/>
        <v>0</v>
      </c>
      <c r="G7" t="b">
        <f t="shared" si="1"/>
        <v>0</v>
      </c>
      <c r="H7" t="b">
        <f t="shared" si="2"/>
        <v>1</v>
      </c>
      <c r="I7" t="b">
        <f t="shared" si="3"/>
        <v>0</v>
      </c>
      <c r="J7" t="b">
        <f t="shared" si="4"/>
        <v>0</v>
      </c>
      <c r="K7" t="b">
        <f t="shared" si="5"/>
        <v>0</v>
      </c>
      <c r="L7" t="b">
        <f t="shared" si="6"/>
        <v>0</v>
      </c>
      <c r="M7" t="b">
        <f t="shared" si="7"/>
        <v>0</v>
      </c>
      <c r="N7" t="b">
        <f t="shared" si="8"/>
        <v>0</v>
      </c>
      <c r="O7" t="b">
        <f t="shared" si="9"/>
        <v>0</v>
      </c>
      <c r="P7" t="s">
        <v>9</v>
      </c>
      <c r="Q7" t="s">
        <v>18</v>
      </c>
      <c r="R7" t="s">
        <v>19</v>
      </c>
      <c r="S7" t="s">
        <v>22</v>
      </c>
      <c r="T7" t="s">
        <v>23</v>
      </c>
      <c r="U7" s="1" t="s">
        <v>29</v>
      </c>
      <c r="V7" s="1" t="s">
        <v>34</v>
      </c>
      <c r="W7" t="s">
        <v>53</v>
      </c>
      <c r="X7" t="s">
        <v>54</v>
      </c>
      <c r="Y7" t="s">
        <v>55</v>
      </c>
      <c r="Z7" t="s">
        <v>56</v>
      </c>
      <c r="AA7" t="s">
        <v>66</v>
      </c>
      <c r="AB7" t="s">
        <v>67</v>
      </c>
    </row>
    <row r="8" spans="1:43" x14ac:dyDescent="0.2">
      <c r="A8" t="s">
        <v>7</v>
      </c>
      <c r="B8">
        <v>0</v>
      </c>
      <c r="C8">
        <v>1</v>
      </c>
      <c r="D8">
        <v>1</v>
      </c>
      <c r="E8">
        <v>0</v>
      </c>
      <c r="F8" t="b">
        <f t="shared" si="0"/>
        <v>0</v>
      </c>
      <c r="G8" t="b">
        <f t="shared" si="1"/>
        <v>0</v>
      </c>
      <c r="H8" t="b">
        <f t="shared" si="2"/>
        <v>0</v>
      </c>
      <c r="I8" t="b">
        <f t="shared" si="3"/>
        <v>1</v>
      </c>
      <c r="J8" t="b">
        <f t="shared" si="4"/>
        <v>0</v>
      </c>
      <c r="K8" t="b">
        <f t="shared" si="5"/>
        <v>0</v>
      </c>
      <c r="L8" t="b">
        <f t="shared" si="6"/>
        <v>0</v>
      </c>
      <c r="M8" t="b">
        <f t="shared" si="7"/>
        <v>0</v>
      </c>
      <c r="N8" t="b">
        <f t="shared" si="8"/>
        <v>0</v>
      </c>
      <c r="O8" t="b">
        <f t="shared" si="9"/>
        <v>0</v>
      </c>
      <c r="P8" t="s">
        <v>9</v>
      </c>
      <c r="Q8" t="s">
        <v>18</v>
      </c>
      <c r="R8" t="s">
        <v>19</v>
      </c>
      <c r="S8" t="s">
        <v>22</v>
      </c>
      <c r="T8" t="s">
        <v>23</v>
      </c>
      <c r="U8" s="1" t="s">
        <v>24</v>
      </c>
      <c r="V8" s="1" t="s">
        <v>29</v>
      </c>
      <c r="W8" s="1" t="s">
        <v>34</v>
      </c>
      <c r="X8" s="1" t="s">
        <v>53</v>
      </c>
      <c r="Y8" s="1" t="s">
        <v>54</v>
      </c>
      <c r="Z8" s="1" t="s">
        <v>55</v>
      </c>
      <c r="AA8" s="1" t="s">
        <v>56</v>
      </c>
      <c r="AB8" t="s">
        <v>66</v>
      </c>
      <c r="AC8" t="s">
        <v>67</v>
      </c>
    </row>
    <row r="9" spans="1:43" x14ac:dyDescent="0.2">
      <c r="A9" t="s">
        <v>8</v>
      </c>
      <c r="B9">
        <v>1</v>
      </c>
      <c r="C9">
        <v>0</v>
      </c>
      <c r="D9">
        <v>1</v>
      </c>
      <c r="E9">
        <v>0</v>
      </c>
      <c r="F9" t="b">
        <f t="shared" si="0"/>
        <v>0</v>
      </c>
      <c r="G9" t="b">
        <f t="shared" si="1"/>
        <v>1</v>
      </c>
      <c r="H9" t="b">
        <f t="shared" si="2"/>
        <v>0</v>
      </c>
      <c r="I9" t="b">
        <f t="shared" si="3"/>
        <v>0</v>
      </c>
      <c r="J9" t="b">
        <f t="shared" si="4"/>
        <v>0</v>
      </c>
      <c r="K9" t="b">
        <f t="shared" si="5"/>
        <v>0</v>
      </c>
      <c r="L9" t="b">
        <f t="shared" si="6"/>
        <v>0</v>
      </c>
      <c r="M9" t="b">
        <f t="shared" si="7"/>
        <v>0</v>
      </c>
      <c r="N9" t="b">
        <f t="shared" si="8"/>
        <v>0</v>
      </c>
      <c r="O9" t="b">
        <f t="shared" si="9"/>
        <v>0</v>
      </c>
      <c r="P9" t="s">
        <v>9</v>
      </c>
      <c r="Q9" t="s">
        <v>18</v>
      </c>
      <c r="R9" t="s">
        <v>19</v>
      </c>
      <c r="S9" s="1" t="s">
        <v>20</v>
      </c>
      <c r="T9" t="s">
        <v>22</v>
      </c>
      <c r="U9" t="s">
        <v>23</v>
      </c>
      <c r="V9" s="1" t="s">
        <v>24</v>
      </c>
      <c r="W9" s="1" t="s">
        <v>29</v>
      </c>
      <c r="X9" s="1" t="s">
        <v>34</v>
      </c>
      <c r="Y9" s="1" t="s">
        <v>53</v>
      </c>
      <c r="Z9" s="1" t="s">
        <v>54</v>
      </c>
      <c r="AA9" s="1" t="s">
        <v>55</v>
      </c>
      <c r="AB9" s="1" t="s">
        <v>56</v>
      </c>
      <c r="AC9" t="s">
        <v>66</v>
      </c>
      <c r="AD9" t="s">
        <v>67</v>
      </c>
    </row>
    <row r="10" spans="1:43" x14ac:dyDescent="0.2">
      <c r="A10" t="s">
        <v>60</v>
      </c>
      <c r="B10">
        <v>1</v>
      </c>
      <c r="C10">
        <v>0</v>
      </c>
      <c r="D10">
        <v>0</v>
      </c>
      <c r="E10">
        <v>1</v>
      </c>
      <c r="F10" t="b">
        <f t="shared" si="0"/>
        <v>0</v>
      </c>
      <c r="G10" t="b">
        <f t="shared" si="1"/>
        <v>0</v>
      </c>
      <c r="H10" t="b">
        <f t="shared" si="2"/>
        <v>1</v>
      </c>
      <c r="I10" t="b">
        <f t="shared" si="3"/>
        <v>0</v>
      </c>
      <c r="J10" t="b">
        <f t="shared" si="4"/>
        <v>0</v>
      </c>
      <c r="K10" t="b">
        <f t="shared" si="5"/>
        <v>0</v>
      </c>
      <c r="L10" t="b">
        <f t="shared" si="6"/>
        <v>0</v>
      </c>
      <c r="M10" t="b">
        <f t="shared" si="7"/>
        <v>0</v>
      </c>
      <c r="N10" t="b">
        <f t="shared" si="8"/>
        <v>0</v>
      </c>
      <c r="O10" t="b">
        <f t="shared" si="9"/>
        <v>0</v>
      </c>
      <c r="P10" s="1" t="s">
        <v>61</v>
      </c>
    </row>
    <row r="11" spans="1:43" x14ac:dyDescent="0.2">
      <c r="A11" t="s">
        <v>11</v>
      </c>
      <c r="B11">
        <v>1</v>
      </c>
      <c r="C11">
        <v>0</v>
      </c>
      <c r="D11">
        <v>1</v>
      </c>
      <c r="E11">
        <v>0</v>
      </c>
      <c r="F11" t="b">
        <f t="shared" si="0"/>
        <v>0</v>
      </c>
      <c r="G11" t="b">
        <f t="shared" si="1"/>
        <v>1</v>
      </c>
      <c r="H11" t="b">
        <f t="shared" si="2"/>
        <v>0</v>
      </c>
      <c r="I11" t="b">
        <f t="shared" si="3"/>
        <v>0</v>
      </c>
      <c r="J11" t="b">
        <f t="shared" si="4"/>
        <v>0</v>
      </c>
      <c r="K11" t="b">
        <f t="shared" si="5"/>
        <v>0</v>
      </c>
      <c r="L11" t="b">
        <f t="shared" si="6"/>
        <v>0</v>
      </c>
      <c r="M11" t="b">
        <f t="shared" si="7"/>
        <v>0</v>
      </c>
      <c r="N11" t="b">
        <f t="shared" si="8"/>
        <v>0</v>
      </c>
      <c r="O11" t="b">
        <f t="shared" si="9"/>
        <v>0</v>
      </c>
      <c r="P11" t="s">
        <v>12</v>
      </c>
      <c r="Q11" t="s">
        <v>20</v>
      </c>
      <c r="R11" t="s">
        <v>23</v>
      </c>
      <c r="S11" s="1" t="s">
        <v>24</v>
      </c>
      <c r="T11" s="1" t="s">
        <v>29</v>
      </c>
      <c r="U11" t="s">
        <v>31</v>
      </c>
      <c r="V11" t="s">
        <v>32</v>
      </c>
      <c r="W11" s="1" t="s">
        <v>34</v>
      </c>
      <c r="X11" s="1" t="s">
        <v>36</v>
      </c>
      <c r="Y11" t="s">
        <v>37</v>
      </c>
      <c r="Z11" t="s">
        <v>38</v>
      </c>
      <c r="AA11" t="s">
        <v>41</v>
      </c>
      <c r="AB11" t="s">
        <v>42</v>
      </c>
      <c r="AC11" t="s">
        <v>43</v>
      </c>
      <c r="AD11" t="s">
        <v>44</v>
      </c>
      <c r="AE11" t="s">
        <v>45</v>
      </c>
      <c r="AF11" t="s">
        <v>46</v>
      </c>
      <c r="AG11" s="1" t="s">
        <v>48</v>
      </c>
      <c r="AH11" t="s">
        <v>50</v>
      </c>
      <c r="AI11" t="s">
        <v>51</v>
      </c>
      <c r="AJ11" t="s">
        <v>52</v>
      </c>
      <c r="AK11" s="1" t="s">
        <v>53</v>
      </c>
      <c r="AL11" s="1" t="s">
        <v>54</v>
      </c>
      <c r="AM11" s="1" t="s">
        <v>55</v>
      </c>
      <c r="AN11" s="1" t="s">
        <v>56</v>
      </c>
      <c r="AO11" t="s">
        <v>59</v>
      </c>
      <c r="AP11" t="s">
        <v>66</v>
      </c>
      <c r="AQ11" t="s">
        <v>67</v>
      </c>
    </row>
    <row r="12" spans="1:43" x14ac:dyDescent="0.2">
      <c r="A12" t="s">
        <v>2</v>
      </c>
      <c r="B12">
        <v>1</v>
      </c>
      <c r="C12">
        <v>1</v>
      </c>
      <c r="D12">
        <v>1</v>
      </c>
      <c r="E12">
        <v>0</v>
      </c>
      <c r="F12" t="b">
        <f t="shared" si="0"/>
        <v>1</v>
      </c>
      <c r="G12" t="b">
        <f t="shared" si="1"/>
        <v>1</v>
      </c>
      <c r="H12" t="b">
        <f t="shared" si="2"/>
        <v>0</v>
      </c>
      <c r="I12" t="b">
        <f t="shared" si="3"/>
        <v>1</v>
      </c>
      <c r="J12" t="b">
        <f t="shared" si="4"/>
        <v>0</v>
      </c>
      <c r="K12" t="b">
        <f t="shared" si="5"/>
        <v>0</v>
      </c>
      <c r="L12" t="b">
        <f t="shared" si="6"/>
        <v>1</v>
      </c>
      <c r="M12" t="b">
        <f t="shared" si="7"/>
        <v>0</v>
      </c>
      <c r="N12" t="b">
        <f t="shared" si="8"/>
        <v>0</v>
      </c>
      <c r="O12" t="b">
        <f t="shared" si="9"/>
        <v>0</v>
      </c>
      <c r="P12" t="s">
        <v>3</v>
      </c>
      <c r="Q12" t="s">
        <v>4</v>
      </c>
      <c r="R12" t="s">
        <v>5</v>
      </c>
      <c r="S12" t="s">
        <v>14</v>
      </c>
      <c r="T12" s="1" t="s">
        <v>26</v>
      </c>
      <c r="U12" s="1" t="s">
        <v>36</v>
      </c>
      <c r="V12" t="s">
        <v>46</v>
      </c>
      <c r="W12" t="s">
        <v>47</v>
      </c>
      <c r="X12" s="1" t="s">
        <v>48</v>
      </c>
      <c r="Y12" t="s">
        <v>50</v>
      </c>
      <c r="Z12" t="s">
        <v>51</v>
      </c>
      <c r="AA12" t="s">
        <v>52</v>
      </c>
      <c r="AB12" s="1" t="s">
        <v>53</v>
      </c>
      <c r="AC12" s="1" t="s">
        <v>54</v>
      </c>
      <c r="AD12" s="1" t="s">
        <v>55</v>
      </c>
      <c r="AE12" s="1" t="s">
        <v>56</v>
      </c>
      <c r="AF12" t="s">
        <v>59</v>
      </c>
      <c r="AG12" s="1" t="s">
        <v>61</v>
      </c>
      <c r="AH12" t="s">
        <v>66</v>
      </c>
    </row>
    <row r="13" spans="1:43" x14ac:dyDescent="0.2">
      <c r="A13" t="s">
        <v>30</v>
      </c>
      <c r="B13">
        <v>1</v>
      </c>
      <c r="C13">
        <v>0</v>
      </c>
      <c r="D13">
        <v>1</v>
      </c>
      <c r="E13">
        <v>0</v>
      </c>
      <c r="F13" t="b">
        <f t="shared" si="0"/>
        <v>0</v>
      </c>
      <c r="G13" t="b">
        <f t="shared" si="1"/>
        <v>1</v>
      </c>
      <c r="H13" t="b">
        <f t="shared" si="2"/>
        <v>0</v>
      </c>
      <c r="I13" t="b">
        <f t="shared" si="3"/>
        <v>0</v>
      </c>
      <c r="J13" t="b">
        <f t="shared" si="4"/>
        <v>0</v>
      </c>
      <c r="K13" t="b">
        <f t="shared" si="5"/>
        <v>0</v>
      </c>
      <c r="L13" t="b">
        <f t="shared" si="6"/>
        <v>0</v>
      </c>
      <c r="M13" t="b">
        <f t="shared" si="7"/>
        <v>0</v>
      </c>
      <c r="N13" t="b">
        <f t="shared" si="8"/>
        <v>0</v>
      </c>
      <c r="O13" t="b">
        <f t="shared" si="9"/>
        <v>0</v>
      </c>
      <c r="P13" s="1" t="s">
        <v>29</v>
      </c>
      <c r="Q13" t="s">
        <v>31</v>
      </c>
      <c r="R13" t="s">
        <v>32</v>
      </c>
      <c r="S13" s="1" t="s">
        <v>36</v>
      </c>
      <c r="T13" t="s">
        <v>37</v>
      </c>
      <c r="U13" t="s">
        <v>38</v>
      </c>
      <c r="V13" t="s">
        <v>41</v>
      </c>
      <c r="W13" t="s">
        <v>42</v>
      </c>
      <c r="X13" t="s">
        <v>43</v>
      </c>
      <c r="Y13" t="s">
        <v>44</v>
      </c>
      <c r="Z13" t="s">
        <v>45</v>
      </c>
      <c r="AA13" t="s">
        <v>46</v>
      </c>
      <c r="AB13" t="s">
        <v>48</v>
      </c>
      <c r="AC13" t="s">
        <v>50</v>
      </c>
      <c r="AD13" t="s">
        <v>51</v>
      </c>
      <c r="AE13" t="s">
        <v>52</v>
      </c>
      <c r="AF13" t="s">
        <v>53</v>
      </c>
      <c r="AG13" t="s">
        <v>54</v>
      </c>
      <c r="AH13" t="s">
        <v>55</v>
      </c>
      <c r="AI13" t="s">
        <v>56</v>
      </c>
      <c r="AJ13" t="s">
        <v>59</v>
      </c>
      <c r="AK13" s="1" t="s">
        <v>61</v>
      </c>
      <c r="AL13" t="s">
        <v>66</v>
      </c>
      <c r="AM13" t="s">
        <v>67</v>
      </c>
      <c r="AN13" t="s">
        <v>67</v>
      </c>
    </row>
    <row r="14" spans="1:43" x14ac:dyDescent="0.2">
      <c r="A14" t="s">
        <v>21</v>
      </c>
      <c r="B14">
        <v>1</v>
      </c>
      <c r="C14">
        <v>0</v>
      </c>
      <c r="D14">
        <v>1</v>
      </c>
      <c r="E14">
        <v>0</v>
      </c>
      <c r="F14" t="b">
        <f t="shared" si="0"/>
        <v>0</v>
      </c>
      <c r="G14" t="b">
        <f t="shared" si="1"/>
        <v>1</v>
      </c>
      <c r="H14" t="b">
        <f t="shared" si="2"/>
        <v>0</v>
      </c>
      <c r="I14" t="b">
        <f t="shared" si="3"/>
        <v>0</v>
      </c>
      <c r="J14" t="b">
        <f t="shared" si="4"/>
        <v>0</v>
      </c>
      <c r="K14" t="b">
        <f t="shared" si="5"/>
        <v>0</v>
      </c>
      <c r="L14" t="b">
        <f t="shared" si="6"/>
        <v>0</v>
      </c>
      <c r="M14" t="b">
        <f t="shared" si="7"/>
        <v>0</v>
      </c>
      <c r="N14" t="b">
        <f t="shared" si="8"/>
        <v>0</v>
      </c>
      <c r="O14" t="b">
        <f t="shared" si="9"/>
        <v>0</v>
      </c>
      <c r="P14" s="1" t="s">
        <v>20</v>
      </c>
      <c r="Q14" t="s">
        <v>23</v>
      </c>
      <c r="R14" s="1" t="s">
        <v>26</v>
      </c>
      <c r="S14" t="s">
        <v>39</v>
      </c>
      <c r="T14" t="s">
        <v>40</v>
      </c>
      <c r="U14" t="s">
        <v>47</v>
      </c>
      <c r="V14" s="1" t="s">
        <v>61</v>
      </c>
    </row>
    <row r="15" spans="1:43" x14ac:dyDescent="0.2">
      <c r="A15" t="s">
        <v>64</v>
      </c>
      <c r="B15">
        <v>1</v>
      </c>
      <c r="C15">
        <v>0</v>
      </c>
      <c r="D15">
        <v>1</v>
      </c>
      <c r="E15">
        <v>0</v>
      </c>
      <c r="F15" t="b">
        <f t="shared" si="0"/>
        <v>0</v>
      </c>
      <c r="G15" t="b">
        <f t="shared" si="1"/>
        <v>1</v>
      </c>
      <c r="H15" t="b">
        <f t="shared" si="2"/>
        <v>0</v>
      </c>
      <c r="I15" t="b">
        <f t="shared" si="3"/>
        <v>0</v>
      </c>
      <c r="J15" t="b">
        <f t="shared" si="4"/>
        <v>0</v>
      </c>
      <c r="K15" t="b">
        <f t="shared" si="5"/>
        <v>0</v>
      </c>
      <c r="L15" t="b">
        <f t="shared" si="6"/>
        <v>0</v>
      </c>
      <c r="M15" t="b">
        <f t="shared" si="7"/>
        <v>0</v>
      </c>
      <c r="N15" t="b">
        <f t="shared" si="8"/>
        <v>0</v>
      </c>
      <c r="O15" t="b">
        <f t="shared" si="9"/>
        <v>0</v>
      </c>
      <c r="P15" t="s">
        <v>13</v>
      </c>
      <c r="Q15" s="1" t="s">
        <v>61</v>
      </c>
    </row>
    <row r="16" spans="1:43" x14ac:dyDescent="0.2">
      <c r="A16" t="s">
        <v>35</v>
      </c>
      <c r="B16">
        <v>0</v>
      </c>
      <c r="C16">
        <v>1</v>
      </c>
      <c r="D16">
        <v>1</v>
      </c>
      <c r="E16">
        <v>0</v>
      </c>
      <c r="F16" t="b">
        <f t="shared" si="0"/>
        <v>0</v>
      </c>
      <c r="G16" t="b">
        <f t="shared" si="1"/>
        <v>0</v>
      </c>
      <c r="H16" t="b">
        <f t="shared" si="2"/>
        <v>0</v>
      </c>
      <c r="I16" t="b">
        <f t="shared" si="3"/>
        <v>1</v>
      </c>
      <c r="J16" t="b">
        <f t="shared" si="4"/>
        <v>0</v>
      </c>
      <c r="K16" t="b">
        <f t="shared" si="5"/>
        <v>0</v>
      </c>
      <c r="L16" t="b">
        <f t="shared" si="6"/>
        <v>0</v>
      </c>
      <c r="M16" t="b">
        <f t="shared" si="7"/>
        <v>0</v>
      </c>
      <c r="N16" t="b">
        <f t="shared" si="8"/>
        <v>0</v>
      </c>
      <c r="O16" t="b">
        <f t="shared" si="9"/>
        <v>0</v>
      </c>
      <c r="P16" s="1" t="s">
        <v>36</v>
      </c>
      <c r="Q16" t="s">
        <v>45</v>
      </c>
      <c r="R16" t="s">
        <v>46</v>
      </c>
      <c r="S16" t="s">
        <v>48</v>
      </c>
      <c r="T16" t="s">
        <v>50</v>
      </c>
      <c r="U16" t="s">
        <v>51</v>
      </c>
      <c r="V16" t="s">
        <v>52</v>
      </c>
      <c r="W16" t="s">
        <v>53</v>
      </c>
      <c r="X16" t="s">
        <v>54</v>
      </c>
      <c r="Y16" t="s">
        <v>55</v>
      </c>
      <c r="Z16" t="s">
        <v>56</v>
      </c>
      <c r="AA16" t="s">
        <v>59</v>
      </c>
      <c r="AB16" t="s">
        <v>66</v>
      </c>
    </row>
    <row r="17" spans="1:38" x14ac:dyDescent="0.2">
      <c r="A17" t="s">
        <v>27</v>
      </c>
      <c r="B17">
        <v>1</v>
      </c>
      <c r="C17">
        <v>0</v>
      </c>
      <c r="D17">
        <v>0</v>
      </c>
      <c r="E17">
        <v>1</v>
      </c>
      <c r="F17" t="b">
        <f t="shared" si="0"/>
        <v>0</v>
      </c>
      <c r="G17" t="b">
        <f t="shared" si="1"/>
        <v>0</v>
      </c>
      <c r="H17" t="b">
        <f t="shared" si="2"/>
        <v>1</v>
      </c>
      <c r="I17" t="b">
        <f t="shared" si="3"/>
        <v>0</v>
      </c>
      <c r="J17" t="b">
        <f t="shared" si="4"/>
        <v>0</v>
      </c>
      <c r="K17" t="b">
        <f t="shared" si="5"/>
        <v>0</v>
      </c>
      <c r="L17" t="b">
        <f t="shared" si="6"/>
        <v>0</v>
      </c>
      <c r="M17" t="b">
        <f t="shared" si="7"/>
        <v>0</v>
      </c>
      <c r="N17" t="b">
        <f t="shared" si="8"/>
        <v>0</v>
      </c>
      <c r="O17" t="b">
        <f t="shared" si="9"/>
        <v>0</v>
      </c>
      <c r="P17" s="1" t="s">
        <v>26</v>
      </c>
      <c r="Q17" t="s">
        <v>39</v>
      </c>
      <c r="R17" t="s">
        <v>40</v>
      </c>
      <c r="S17" t="s">
        <v>47</v>
      </c>
      <c r="T17" s="1" t="s">
        <v>61</v>
      </c>
    </row>
    <row r="18" spans="1:38" x14ac:dyDescent="0.2">
      <c r="A18" t="s">
        <v>49</v>
      </c>
      <c r="B18">
        <v>0</v>
      </c>
      <c r="C18">
        <v>1</v>
      </c>
      <c r="D18">
        <v>0</v>
      </c>
      <c r="E18">
        <v>1</v>
      </c>
      <c r="F18" t="b">
        <f t="shared" si="0"/>
        <v>0</v>
      </c>
      <c r="G18" t="b">
        <f t="shared" si="1"/>
        <v>0</v>
      </c>
      <c r="H18" t="b">
        <f t="shared" si="2"/>
        <v>0</v>
      </c>
      <c r="I18" t="b">
        <f t="shared" si="3"/>
        <v>0</v>
      </c>
      <c r="J18" t="b">
        <f t="shared" si="4"/>
        <v>1</v>
      </c>
      <c r="K18" t="b">
        <f t="shared" si="5"/>
        <v>0</v>
      </c>
      <c r="L18" t="b">
        <f t="shared" si="6"/>
        <v>0</v>
      </c>
      <c r="M18" t="b">
        <f t="shared" si="7"/>
        <v>0</v>
      </c>
      <c r="N18" t="b">
        <f t="shared" si="8"/>
        <v>0</v>
      </c>
      <c r="O18" t="b">
        <f t="shared" si="9"/>
        <v>0</v>
      </c>
      <c r="P18" s="1" t="s">
        <v>48</v>
      </c>
      <c r="Q18" s="1" t="s">
        <v>53</v>
      </c>
      <c r="R18" s="1" t="s">
        <v>54</v>
      </c>
      <c r="S18" s="1" t="s">
        <v>55</v>
      </c>
      <c r="T18" s="1" t="s">
        <v>56</v>
      </c>
      <c r="U18" t="s">
        <v>59</v>
      </c>
      <c r="V18" t="s">
        <v>66</v>
      </c>
    </row>
    <row r="19" spans="1:38" x14ac:dyDescent="0.2">
      <c r="A19" t="s">
        <v>33</v>
      </c>
      <c r="B19">
        <v>1</v>
      </c>
      <c r="C19">
        <v>1</v>
      </c>
      <c r="D19">
        <v>1</v>
      </c>
      <c r="E19">
        <v>0</v>
      </c>
      <c r="F19" t="b">
        <f t="shared" si="0"/>
        <v>1</v>
      </c>
      <c r="G19" t="b">
        <f t="shared" si="1"/>
        <v>1</v>
      </c>
      <c r="H19" t="b">
        <f t="shared" si="2"/>
        <v>0</v>
      </c>
      <c r="I19" t="b">
        <f t="shared" si="3"/>
        <v>1</v>
      </c>
      <c r="J19" t="b">
        <f t="shared" si="4"/>
        <v>0</v>
      </c>
      <c r="K19" t="b">
        <f t="shared" si="5"/>
        <v>0</v>
      </c>
      <c r="L19" t="b">
        <f t="shared" si="6"/>
        <v>1</v>
      </c>
      <c r="M19" t="b">
        <f t="shared" si="7"/>
        <v>0</v>
      </c>
      <c r="N19" t="b">
        <f t="shared" si="8"/>
        <v>0</v>
      </c>
      <c r="O19" t="b">
        <f t="shared" si="9"/>
        <v>0</v>
      </c>
      <c r="P19" s="1" t="s">
        <v>34</v>
      </c>
    </row>
    <row r="20" spans="1:38" x14ac:dyDescent="0.2">
      <c r="A20" t="s">
        <v>10</v>
      </c>
      <c r="B20">
        <v>1</v>
      </c>
      <c r="C20">
        <v>1</v>
      </c>
      <c r="D20">
        <v>1</v>
      </c>
      <c r="E20">
        <v>0</v>
      </c>
      <c r="F20" t="b">
        <f t="shared" si="0"/>
        <v>1</v>
      </c>
      <c r="G20" t="b">
        <f t="shared" si="1"/>
        <v>1</v>
      </c>
      <c r="H20" t="b">
        <f t="shared" si="2"/>
        <v>0</v>
      </c>
      <c r="I20" t="b">
        <f t="shared" si="3"/>
        <v>1</v>
      </c>
      <c r="J20" t="b">
        <f t="shared" si="4"/>
        <v>0</v>
      </c>
      <c r="K20" t="b">
        <f t="shared" si="5"/>
        <v>0</v>
      </c>
      <c r="L20" t="b">
        <f t="shared" si="6"/>
        <v>1</v>
      </c>
      <c r="M20" t="b">
        <f t="shared" si="7"/>
        <v>0</v>
      </c>
      <c r="N20" t="b">
        <f t="shared" si="8"/>
        <v>0</v>
      </c>
      <c r="O20" t="b">
        <f t="shared" si="9"/>
        <v>0</v>
      </c>
      <c r="P20" t="s">
        <v>12</v>
      </c>
      <c r="Q20" t="s">
        <v>17</v>
      </c>
      <c r="R20" t="s">
        <v>18</v>
      </c>
      <c r="S20" t="s">
        <v>20</v>
      </c>
      <c r="T20" t="s">
        <v>23</v>
      </c>
      <c r="U20" s="1" t="s">
        <v>24</v>
      </c>
      <c r="V20" s="1" t="s">
        <v>34</v>
      </c>
      <c r="W20" t="s">
        <v>48</v>
      </c>
      <c r="X20" t="s">
        <v>53</v>
      </c>
      <c r="Y20" t="s">
        <v>54</v>
      </c>
      <c r="Z20" t="s">
        <v>55</v>
      </c>
      <c r="AA20" t="s">
        <v>56</v>
      </c>
      <c r="AB20" t="s">
        <v>59</v>
      </c>
      <c r="AC20" t="s">
        <v>66</v>
      </c>
    </row>
    <row r="21" spans="1:38" x14ac:dyDescent="0.2">
      <c r="A21" t="s">
        <v>25</v>
      </c>
      <c r="B21">
        <v>0</v>
      </c>
      <c r="C21">
        <v>1</v>
      </c>
      <c r="D21">
        <v>1</v>
      </c>
      <c r="E21">
        <v>0</v>
      </c>
      <c r="F21" t="b">
        <f t="shared" si="0"/>
        <v>0</v>
      </c>
      <c r="G21" t="b">
        <f t="shared" si="1"/>
        <v>0</v>
      </c>
      <c r="H21" t="b">
        <f t="shared" si="2"/>
        <v>0</v>
      </c>
      <c r="I21" t="b">
        <f t="shared" si="3"/>
        <v>1</v>
      </c>
      <c r="J21" t="b">
        <f t="shared" si="4"/>
        <v>0</v>
      </c>
      <c r="K21" t="b">
        <f t="shared" si="5"/>
        <v>0</v>
      </c>
      <c r="L21" t="b">
        <f t="shared" si="6"/>
        <v>0</v>
      </c>
      <c r="M21" t="b">
        <f t="shared" si="7"/>
        <v>0</v>
      </c>
      <c r="N21" t="b">
        <f t="shared" si="8"/>
        <v>0</v>
      </c>
      <c r="O21" t="b">
        <f t="shared" si="9"/>
        <v>0</v>
      </c>
      <c r="P21" s="1" t="s">
        <v>26</v>
      </c>
      <c r="Q21" t="s">
        <v>39</v>
      </c>
      <c r="R21" t="s">
        <v>40</v>
      </c>
      <c r="S21" t="s">
        <v>47</v>
      </c>
      <c r="T21" s="1" t="s">
        <v>61</v>
      </c>
    </row>
    <row r="22" spans="1:38" x14ac:dyDescent="0.2">
      <c r="A22" t="s">
        <v>28</v>
      </c>
      <c r="B22">
        <v>1</v>
      </c>
      <c r="C22">
        <v>0</v>
      </c>
      <c r="D22">
        <v>0</v>
      </c>
      <c r="E22">
        <v>1</v>
      </c>
      <c r="F22" t="b">
        <f t="shared" si="0"/>
        <v>0</v>
      </c>
      <c r="G22" t="b">
        <f t="shared" si="1"/>
        <v>0</v>
      </c>
      <c r="H22" t="b">
        <f t="shared" si="2"/>
        <v>1</v>
      </c>
      <c r="I22" t="b">
        <f t="shared" si="3"/>
        <v>0</v>
      </c>
      <c r="J22" t="b">
        <f t="shared" si="4"/>
        <v>0</v>
      </c>
      <c r="K22" t="b">
        <f t="shared" si="5"/>
        <v>0</v>
      </c>
      <c r="L22" t="b">
        <f t="shared" si="6"/>
        <v>0</v>
      </c>
      <c r="M22" t="b">
        <f t="shared" si="7"/>
        <v>0</v>
      </c>
      <c r="N22" t="b">
        <f t="shared" si="8"/>
        <v>0</v>
      </c>
      <c r="O22" t="b">
        <f t="shared" si="9"/>
        <v>0</v>
      </c>
      <c r="P22" s="1" t="s">
        <v>29</v>
      </c>
      <c r="Q22" t="s">
        <v>31</v>
      </c>
      <c r="R22" t="s">
        <v>32</v>
      </c>
      <c r="S22" s="1" t="s">
        <v>36</v>
      </c>
      <c r="T22" t="s">
        <v>37</v>
      </c>
      <c r="U22" t="s">
        <v>38</v>
      </c>
      <c r="V22" t="s">
        <v>41</v>
      </c>
      <c r="W22" t="s">
        <v>42</v>
      </c>
      <c r="X22" t="s">
        <v>43</v>
      </c>
      <c r="Y22" t="s">
        <v>44</v>
      </c>
      <c r="Z22" t="s">
        <v>45</v>
      </c>
      <c r="AA22" t="s">
        <v>46</v>
      </c>
      <c r="AB22" t="s">
        <v>48</v>
      </c>
      <c r="AC22" t="s">
        <v>50</v>
      </c>
      <c r="AD22" t="s">
        <v>51</v>
      </c>
      <c r="AE22" t="s">
        <v>52</v>
      </c>
      <c r="AF22" t="s">
        <v>53</v>
      </c>
      <c r="AG22" t="s">
        <v>54</v>
      </c>
      <c r="AH22" t="s">
        <v>55</v>
      </c>
      <c r="AI22" t="s">
        <v>56</v>
      </c>
      <c r="AJ22" t="s">
        <v>59</v>
      </c>
      <c r="AK22" t="s">
        <v>66</v>
      </c>
      <c r="AL22" t="s">
        <v>67</v>
      </c>
    </row>
    <row r="23" spans="1:38" x14ac:dyDescent="0.2">
      <c r="A23" t="s">
        <v>63</v>
      </c>
      <c r="B23">
        <v>1</v>
      </c>
      <c r="C23">
        <v>0</v>
      </c>
      <c r="D23">
        <v>0</v>
      </c>
      <c r="E23">
        <v>1</v>
      </c>
      <c r="F23" t="b">
        <f t="shared" si="0"/>
        <v>0</v>
      </c>
      <c r="G23" t="b">
        <f t="shared" si="1"/>
        <v>0</v>
      </c>
      <c r="H23" t="b">
        <f t="shared" si="2"/>
        <v>1</v>
      </c>
      <c r="I23" t="b">
        <f t="shared" si="3"/>
        <v>0</v>
      </c>
      <c r="J23" t="b">
        <f t="shared" si="4"/>
        <v>0</v>
      </c>
      <c r="K23" t="b">
        <f t="shared" si="5"/>
        <v>0</v>
      </c>
      <c r="L23" t="b">
        <f t="shared" si="6"/>
        <v>0</v>
      </c>
      <c r="M23" t="b">
        <f t="shared" si="7"/>
        <v>0</v>
      </c>
      <c r="N23" t="b">
        <f t="shared" si="8"/>
        <v>0</v>
      </c>
      <c r="O23" t="b">
        <f t="shared" si="9"/>
        <v>0</v>
      </c>
      <c r="P23" s="1" t="s">
        <v>61</v>
      </c>
    </row>
    <row r="24" spans="1:38" x14ac:dyDescent="0.2">
      <c r="B24">
        <f>SUM(B2:B23)</f>
        <v>18</v>
      </c>
      <c r="C24">
        <f>SUM(C2:C23)</f>
        <v>8</v>
      </c>
      <c r="D24">
        <f>SUM(D2:D23)</f>
        <v>16</v>
      </c>
      <c r="E24">
        <f>SUM(E2:E23)</f>
        <v>6</v>
      </c>
      <c r="F24">
        <f>COUNTIF(F2:F23,TRUE)</f>
        <v>4</v>
      </c>
      <c r="G24">
        <f>COUNTIF(G2:G23,TRUE)</f>
        <v>13</v>
      </c>
      <c r="H24">
        <f>COUNTIF(H2:H23,TRUE)</f>
        <v>5</v>
      </c>
      <c r="I24">
        <f>COUNTIF(I2:I23,TRUE)</f>
        <v>7</v>
      </c>
      <c r="J24">
        <f>COUNTIF(J2:J23,TRUE)</f>
        <v>1</v>
      </c>
      <c r="K24">
        <f>COUNTIF(K2:K23,TRUE)</f>
        <v>0</v>
      </c>
      <c r="L24">
        <f>COUNTIF(L2:L23,TRUE)</f>
        <v>4</v>
      </c>
      <c r="M24">
        <f>COUNTIF(M2:M23,TRUE)</f>
        <v>0</v>
      </c>
      <c r="N24">
        <f>COUNTIF(N2:N23,TRUE)</f>
        <v>0</v>
      </c>
      <c r="O24">
        <f>COUNTIF(O2:O23,TRUE)</f>
        <v>0</v>
      </c>
    </row>
  </sheetData>
  <sortState xmlns:xlrd2="http://schemas.microsoft.com/office/spreadsheetml/2017/richdata2" ref="A2:AQ23">
    <sortCondition ref="A2:A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Jackson (Student)</dc:creator>
  <cp:lastModifiedBy>Danny Jackson (Student)</cp:lastModifiedBy>
  <dcterms:created xsi:type="dcterms:W3CDTF">2025-06-06T20:45:25Z</dcterms:created>
  <dcterms:modified xsi:type="dcterms:W3CDTF">2025-06-07T18:35:45Z</dcterms:modified>
</cp:coreProperties>
</file>